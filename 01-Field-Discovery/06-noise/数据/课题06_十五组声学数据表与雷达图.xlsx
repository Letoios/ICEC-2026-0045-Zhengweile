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十五组汇总" sheetId="1" state="visible" r:id="rId1"/>
    <sheet xmlns:r="http://schemas.openxmlformats.org/officeDocument/2006/relationships" name="02 点位对比" sheetId="2" state="visible" r:id="rId2"/>
    <sheet xmlns:r="http://schemas.openxmlformats.org/officeDocument/2006/relationships" name="03 雷达图" sheetId="3" state="visible" r:id="rId3"/>
    <sheet xmlns:r="http://schemas.openxmlformats.org/officeDocument/2006/relationships" name="04 标准依据" sheetId="4" state="visible" r:id="rId4"/>
    <sheet xmlns:r="http://schemas.openxmlformats.org/officeDocument/2006/relationships" name="05 光效参数" sheetId="5" state="visible" r:id="rId5"/>
  </sheets>
  <definedNames>
    <definedName name="_xlnm._FilterDatabase" localSheetId="0" hidden="1">'01 十五组汇总'!$A$4:$R$19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0"/>
    </font>
    <font>
      <name val="微软雅黑"/>
      <b val="1"/>
      <color rgb="00FFFFFF"/>
      <sz val="14"/>
    </font>
    <font>
      <name val="微软雅黑"/>
      <b val="1"/>
      <color rgb="00C00000"/>
      <sz val="9"/>
    </font>
    <font>
      <name val="微软雅黑"/>
      <b val="1"/>
      <sz val="9"/>
    </font>
    <font>
      <name val="微软雅黑"/>
      <sz val="9"/>
    </font>
    <font>
      <name val="微软雅黑"/>
      <color rgb="00333333"/>
      <sz val="9"/>
    </font>
    <font>
      <name val="微软雅黑"/>
      <b val="1"/>
      <color rgb="00333333"/>
      <sz val="9"/>
    </font>
    <font>
      <name val="微软雅黑"/>
      <b val="1"/>
      <color rgb="00FFFFFF"/>
      <sz val="10"/>
    </font>
    <font>
      <name val="微软雅黑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6E9"/>
      </patternFill>
    </fill>
    <fill>
      <patternFill patternType="solid">
        <fgColor rgb="00E8E8F5"/>
      </patternFill>
    </fill>
    <fill>
      <patternFill patternType="solid">
        <fgColor rgb="002E5496"/>
      </patternFill>
    </fill>
    <fill>
      <patternFill patternType="solid">
        <fgColor rgb="0000C2FF"/>
      </patternFill>
    </fill>
    <fill>
      <patternFill patternType="solid">
        <fgColor rgb="0022C55E"/>
      </patternFill>
    </fill>
    <fill>
      <patternFill patternType="solid">
        <fgColor rgb="00FACC15"/>
      </patternFill>
    </fill>
    <fill>
      <patternFill patternType="solid">
        <fgColor rgb="00FB923C"/>
      </patternFill>
    </fill>
    <fill>
      <patternFill patternType="solid">
        <fgColor rgb="00EF4444"/>
      </patternFill>
    </fill>
  </fills>
  <borders count="6">
    <border>
      <left/>
      <right/>
      <top/>
      <bottom/>
      <diagonal/>
    </border>
    <border>
      <left style="thin">
        <color rgb="00BFC8D6"/>
      </left>
      <right style="thin">
        <color rgb="00BFC8D6"/>
      </right>
      <top style="thin">
        <color rgb="00BFC8D6"/>
      </top>
      <bottom style="thin">
        <color rgb="00BFC8D6"/>
      </bottom>
    </border>
    <border>
      <left/>
      <right/>
      <top style="thin">
        <color rgb="00BFC8D6"/>
      </top>
      <bottom/>
      <diagonal/>
    </border>
    <border>
      <left/>
      <right style="thin">
        <color rgb="00BFC8D6"/>
      </right>
      <top style="thin">
        <color rgb="00BFC8D6"/>
      </top>
      <bottom/>
      <diagonal/>
    </border>
    <border>
      <left/>
      <right/>
      <top style="thin">
        <color rgb="00BFC8D6"/>
      </top>
      <bottom style="thin">
        <color rgb="00BFC8D6"/>
      </bottom>
      <diagonal/>
    </border>
    <border>
      <left/>
      <right style="thin">
        <color rgb="00BFC8D6"/>
      </right>
      <top style="thin">
        <color rgb="00BFC8D6"/>
      </top>
      <bottom style="thin">
        <color rgb="00BFC8D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1" pivotButton="0" quotePrefix="0" xfId="0"/>
    <xf numFmtId="49" fontId="10" fillId="0" borderId="1" applyAlignment="1" pivotButton="0" quotePrefix="0" xfId="0">
      <alignment horizontal="center" vertical="center"/>
    </xf>
    <xf numFmtId="0" fontId="1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name val="微软雅黑"/>
        <b val="1"/>
        <color rgb="00C00000"/>
        <sz val="1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早 / 中 / 晚 超出量 Δ（dB）</a:t>
            </a:r>
          </a:p>
        </rich>
      </tx>
    </title>
    <plotArea>
      <radarChart>
        <radarStyle val="marker"/>
        <ser>
          <idx val="0"/>
          <order val="0"/>
          <tx>
            <strRef>
              <f>'03 雷达图'!B4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 雷达图'!$A$5:$A$9</f>
            </numRef>
          </cat>
          <val>
            <numRef>
              <f>'03 雷达图'!$B$5:$B$9</f>
            </numRef>
          </val>
        </ser>
        <ser>
          <idx val="1"/>
          <order val="1"/>
          <tx>
            <strRef>
              <f>'03 雷达图'!C4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 雷达图'!$A$5:$A$9</f>
            </numRef>
          </cat>
          <val>
            <numRef>
              <f>'03 雷达图'!$C$5:$C$9</f>
            </numRef>
          </val>
        </ser>
        <ser>
          <idx val="2"/>
          <order val="2"/>
          <tx>
            <strRef>
              <f>'03 雷达图'!D4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 雷达图'!$A$5:$A$9</f>
            </numRef>
          </cat>
          <val>
            <numRef>
              <f>'03 雷达图'!$D$5:$D$9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-15"/>
        </scaling>
        <axPos val="l"/>
        <majorGridlines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48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3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7" customWidth="1" min="10" max="10"/>
    <col width="11" customWidth="1" min="11" max="11"/>
    <col width="16" customWidth="1" min="12" max="12"/>
    <col width="12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</cols>
  <sheetData>
    <row r="1" ht="34" customHeight="1">
      <c r="A1" s="1" t="inlineStr">
        <is>
          <t>课题 06　校园昼夜声学噪声地图测绘 —— 15 组声学数据表（早 / 中 / 晚 × 5 点位）</t>
        </is>
      </c>
    </row>
    <row r="2" ht="40" customHeight="1">
      <c r="A2" s="2" t="inlineStr">
        <is>
          <t>数据来源：Phyphox「声音振幅」原始包（20 Hz）　｜　判定依据：GB 3096-2008《声环境质量标准》　｜　昼间 6:00—22:00、夜间 22:00—6:00，本表早/中按昼间限值、晚按夜间限值评价　｜　实测 15 组，覆盖 5 点位 × 3 时段
　｜　传感器：手机麦克风（OnePlus PLK110 / PKG110，Phyphox 1.2.1），未接标准声级计，绝对声级存在未量化偏差</t>
        </is>
      </c>
    </row>
    <row r="4" ht="42" customHeight="1">
      <c r="A4" s="3" t="inlineStr">
        <is>
          <t>编号</t>
        </is>
      </c>
      <c r="B4" s="3" t="inlineStr">
        <is>
          <t>时段</t>
        </is>
      </c>
      <c r="C4" s="3" t="inlineStr">
        <is>
          <t>昼夜
属性</t>
        </is>
      </c>
      <c r="D4" s="3" t="inlineStr">
        <is>
          <t>监测点位</t>
        </is>
      </c>
      <c r="E4" s="3" t="inlineStr">
        <is>
          <t>功能区
类别</t>
        </is>
      </c>
      <c r="F4" s="3" t="inlineStr">
        <is>
          <t>适用限值
Leq dB(A)</t>
        </is>
      </c>
      <c r="G4" s="3" t="inlineStr">
        <is>
          <t>采样日期</t>
        </is>
      </c>
      <c r="H4" s="3" t="inlineStr">
        <is>
          <t>开始时刻</t>
        </is>
      </c>
      <c r="I4" s="3" t="inlineStr">
        <is>
          <t>时长
(s)</t>
        </is>
      </c>
      <c r="J4" s="3" t="inlineStr">
        <is>
          <t>有效
样本</t>
        </is>
      </c>
      <c r="K4" s="3" t="inlineStr">
        <is>
          <t>均值 Leq
dB(A)</t>
        </is>
      </c>
      <c r="L4" s="3" t="inlineStr">
        <is>
          <t>瞬时峰值
Lmax dB(A)</t>
        </is>
      </c>
      <c r="M4" s="3" t="inlineStr">
        <is>
          <t>1 s 峰值
dB(A)</t>
        </is>
      </c>
      <c r="N4" s="3" t="inlineStr">
        <is>
          <t>L10</t>
        </is>
      </c>
      <c r="O4" s="3" t="inlineStr">
        <is>
          <t>L50</t>
        </is>
      </c>
      <c r="P4" s="3" t="inlineStr">
        <is>
          <t>L90</t>
        </is>
      </c>
      <c r="Q4" s="3" t="inlineStr">
        <is>
          <t>超出量
ΔdB</t>
        </is>
      </c>
      <c r="R4" s="3" t="inlineStr">
        <is>
          <t>判定</t>
        </is>
      </c>
    </row>
    <row r="5" ht="21" customHeight="1">
      <c r="A5" s="4" t="inlineStr">
        <is>
          <t>S01</t>
        </is>
      </c>
      <c r="B5" s="5" t="inlineStr">
        <is>
          <t>早</t>
        </is>
      </c>
      <c r="C5" s="5" t="inlineStr">
        <is>
          <t>昼间</t>
        </is>
      </c>
      <c r="D5" s="6" t="inlineStr">
        <is>
          <t>图书馆</t>
        </is>
      </c>
      <c r="E5" s="4" t="inlineStr">
        <is>
          <t>1 类</t>
        </is>
      </c>
      <c r="F5" s="4" t="n">
        <v>55</v>
      </c>
      <c r="G5" s="4" t="inlineStr">
        <is>
          <t>2026-10-27</t>
        </is>
      </c>
      <c r="H5" s="4" t="inlineStr">
        <is>
          <t>08:19:43</t>
        </is>
      </c>
      <c r="I5" s="4" t="n">
        <v>89.8</v>
      </c>
      <c r="J5" s="4" t="n">
        <v>831</v>
      </c>
      <c r="K5" s="7" t="n">
        <v>61.42</v>
      </c>
      <c r="L5" s="8" t="n">
        <v>74.47</v>
      </c>
      <c r="M5" s="8" t="n">
        <v>68.06</v>
      </c>
      <c r="N5" s="8" t="n">
        <v>60.07</v>
      </c>
      <c r="O5" s="8" t="n">
        <v>61.07</v>
      </c>
      <c r="P5" s="8" t="n">
        <v>62.18</v>
      </c>
      <c r="Q5" s="9" t="n">
        <v>6.42</v>
      </c>
      <c r="R5" s="10" t="inlineStr">
        <is>
          <t>超标</t>
        </is>
      </c>
    </row>
    <row r="6" ht="21" customHeight="1">
      <c r="A6" s="4" t="inlineStr">
        <is>
          <t>S02</t>
        </is>
      </c>
      <c r="B6" s="5" t="inlineStr">
        <is>
          <t>早</t>
        </is>
      </c>
      <c r="C6" s="5" t="inlineStr">
        <is>
          <t>昼间</t>
        </is>
      </c>
      <c r="D6" s="6" t="inlineStr">
        <is>
          <t>食堂</t>
        </is>
      </c>
      <c r="E6" s="4" t="inlineStr">
        <is>
          <t>2 类</t>
        </is>
      </c>
      <c r="F6" s="4" t="n">
        <v>60</v>
      </c>
      <c r="G6" s="4" t="inlineStr">
        <is>
          <t>2026-10-26</t>
        </is>
      </c>
      <c r="H6" s="4" t="inlineStr">
        <is>
          <t>07:56:29</t>
        </is>
      </c>
      <c r="I6" s="4" t="n">
        <v>124.9</v>
      </c>
      <c r="J6" s="4" t="n">
        <v>1150</v>
      </c>
      <c r="K6" s="7" t="n">
        <v>62.49</v>
      </c>
      <c r="L6" s="8" t="n">
        <v>78.31</v>
      </c>
      <c r="M6" s="8" t="n">
        <v>71.41</v>
      </c>
      <c r="N6" s="8" t="n">
        <v>59.53</v>
      </c>
      <c r="O6" s="8" t="n">
        <v>61.05</v>
      </c>
      <c r="P6" s="8" t="n">
        <v>64.16</v>
      </c>
      <c r="Q6" s="9" t="n">
        <v>2.49</v>
      </c>
      <c r="R6" s="10" t="inlineStr">
        <is>
          <t>超标</t>
        </is>
      </c>
    </row>
    <row r="7" ht="21" customHeight="1">
      <c r="A7" s="4" t="inlineStr">
        <is>
          <t>S03</t>
        </is>
      </c>
      <c r="B7" s="5" t="inlineStr">
        <is>
          <t>早</t>
        </is>
      </c>
      <c r="C7" s="5" t="inlineStr">
        <is>
          <t>昼间</t>
        </is>
      </c>
      <c r="D7" s="6" t="inlineStr">
        <is>
          <t>主干道</t>
        </is>
      </c>
      <c r="E7" s="4" t="inlineStr">
        <is>
          <t>4a 类</t>
        </is>
      </c>
      <c r="F7" s="4" t="n">
        <v>70</v>
      </c>
      <c r="G7" s="4" t="inlineStr">
        <is>
          <t>2026-10-26</t>
        </is>
      </c>
      <c r="H7" s="4" t="inlineStr">
        <is>
          <t>08:04:12</t>
        </is>
      </c>
      <c r="I7" s="4" t="n">
        <v>102.4</v>
      </c>
      <c r="J7" s="4" t="n">
        <v>946</v>
      </c>
      <c r="K7" s="7" t="n">
        <v>63.46</v>
      </c>
      <c r="L7" s="8" t="n">
        <v>77.43000000000001</v>
      </c>
      <c r="M7" s="8" t="n">
        <v>72.72</v>
      </c>
      <c r="N7" s="8" t="n">
        <v>59.22</v>
      </c>
      <c r="O7" s="8" t="n">
        <v>61.24</v>
      </c>
      <c r="P7" s="8" t="n">
        <v>66.51000000000001</v>
      </c>
      <c r="Q7" s="9" t="n">
        <v>-6.54</v>
      </c>
      <c r="R7" s="10" t="inlineStr">
        <is>
          <t>达标</t>
        </is>
      </c>
    </row>
    <row r="8" ht="21" customHeight="1">
      <c r="A8" s="4" t="inlineStr">
        <is>
          <t>S04</t>
        </is>
      </c>
      <c r="B8" s="5" t="inlineStr">
        <is>
          <t>早</t>
        </is>
      </c>
      <c r="C8" s="5" t="inlineStr">
        <is>
          <t>昼间</t>
        </is>
      </c>
      <c r="D8" s="6" t="inlineStr">
        <is>
          <t>运动场</t>
        </is>
      </c>
      <c r="E8" s="4" t="inlineStr">
        <is>
          <t>2 类</t>
        </is>
      </c>
      <c r="F8" s="4" t="n">
        <v>60</v>
      </c>
      <c r="G8" s="4" t="inlineStr">
        <is>
          <t>2026-10-28</t>
        </is>
      </c>
      <c r="H8" s="4" t="inlineStr">
        <is>
          <t>08:16:27</t>
        </is>
      </c>
      <c r="I8" s="4" t="n">
        <v>82.3</v>
      </c>
      <c r="J8" s="4" t="n">
        <v>758</v>
      </c>
      <c r="K8" s="7" t="n">
        <v>61.48</v>
      </c>
      <c r="L8" s="8" t="n">
        <v>73.89</v>
      </c>
      <c r="M8" s="8" t="n">
        <v>67.84999999999999</v>
      </c>
      <c r="N8" s="8" t="n">
        <v>58.02</v>
      </c>
      <c r="O8" s="8" t="n">
        <v>60.39</v>
      </c>
      <c r="P8" s="8" t="n">
        <v>63.75</v>
      </c>
      <c r="Q8" s="9" t="n">
        <v>1.48</v>
      </c>
      <c r="R8" s="10" t="inlineStr">
        <is>
          <t>超标</t>
        </is>
      </c>
    </row>
    <row r="9" ht="21" customHeight="1">
      <c r="A9" s="4" t="inlineStr">
        <is>
          <t>S05</t>
        </is>
      </c>
      <c r="B9" s="5" t="inlineStr">
        <is>
          <t>早</t>
        </is>
      </c>
      <c r="C9" s="5" t="inlineStr">
        <is>
          <t>昼间</t>
        </is>
      </c>
      <c r="D9" s="6" t="inlineStr">
        <is>
          <t>实训室走廊</t>
        </is>
      </c>
      <c r="E9" s="4" t="inlineStr">
        <is>
          <t>1 类</t>
        </is>
      </c>
      <c r="F9" s="4" t="n">
        <v>55</v>
      </c>
      <c r="G9" s="4" t="inlineStr">
        <is>
          <t>2026-10-26</t>
        </is>
      </c>
      <c r="H9" s="4" t="inlineStr">
        <is>
          <t>08:12:04</t>
        </is>
      </c>
      <c r="I9" s="4" t="n">
        <v>100.4</v>
      </c>
      <c r="J9" s="4" t="n">
        <v>927</v>
      </c>
      <c r="K9" s="7" t="n">
        <v>59.59</v>
      </c>
      <c r="L9" s="8" t="n">
        <v>77.95</v>
      </c>
      <c r="M9" s="8" t="n">
        <v>71.19</v>
      </c>
      <c r="N9" s="8" t="n">
        <v>53.92</v>
      </c>
      <c r="O9" s="8" t="n">
        <v>56.59</v>
      </c>
      <c r="P9" s="8" t="n">
        <v>61.86</v>
      </c>
      <c r="Q9" s="9" t="n">
        <v>4.59</v>
      </c>
      <c r="R9" s="10" t="inlineStr">
        <is>
          <t>超标</t>
        </is>
      </c>
    </row>
    <row r="10" ht="21" customHeight="1">
      <c r="A10" s="4" t="inlineStr">
        <is>
          <t>S06</t>
        </is>
      </c>
      <c r="B10" s="5" t="inlineStr">
        <is>
          <t>中</t>
        </is>
      </c>
      <c r="C10" s="5" t="inlineStr">
        <is>
          <t>昼间</t>
        </is>
      </c>
      <c r="D10" s="6" t="inlineStr">
        <is>
          <t>图书馆</t>
        </is>
      </c>
      <c r="E10" s="4" t="inlineStr">
        <is>
          <t>1 类</t>
        </is>
      </c>
      <c r="F10" s="4" t="n">
        <v>55</v>
      </c>
      <c r="G10" s="4" t="inlineStr">
        <is>
          <t>2026-10-24</t>
        </is>
      </c>
      <c r="H10" s="4" t="inlineStr">
        <is>
          <t>12:58:20</t>
        </is>
      </c>
      <c r="I10" s="4" t="n">
        <v>103.5</v>
      </c>
      <c r="J10" s="4" t="n">
        <v>954</v>
      </c>
      <c r="K10" s="7" t="n">
        <v>61.18</v>
      </c>
      <c r="L10" s="8" t="n">
        <v>84.13</v>
      </c>
      <c r="M10" s="8" t="n">
        <v>75.54000000000001</v>
      </c>
      <c r="N10" s="8" t="n">
        <v>54.98</v>
      </c>
      <c r="O10" s="8" t="n">
        <v>57.2</v>
      </c>
      <c r="P10" s="8" t="n">
        <v>59.83</v>
      </c>
      <c r="Q10" s="9" t="n">
        <v>6.18</v>
      </c>
      <c r="R10" s="10" t="inlineStr">
        <is>
          <t>超标</t>
        </is>
      </c>
    </row>
    <row r="11" ht="21" customHeight="1">
      <c r="A11" s="4" t="inlineStr">
        <is>
          <t>S07</t>
        </is>
      </c>
      <c r="B11" s="5" t="inlineStr">
        <is>
          <t>中</t>
        </is>
      </c>
      <c r="C11" s="5" t="inlineStr">
        <is>
          <t>昼间</t>
        </is>
      </c>
      <c r="D11" s="6" t="inlineStr">
        <is>
          <t>食堂</t>
        </is>
      </c>
      <c r="E11" s="4" t="inlineStr">
        <is>
          <t>2 类</t>
        </is>
      </c>
      <c r="F11" s="4" t="n">
        <v>60</v>
      </c>
      <c r="G11" s="4" t="inlineStr">
        <is>
          <t>2026-10-29</t>
        </is>
      </c>
      <c r="H11" s="4" t="inlineStr">
        <is>
          <t>12:03:11</t>
        </is>
      </c>
      <c r="I11" s="4" t="n">
        <v>102.8</v>
      </c>
      <c r="J11" s="4" t="n">
        <v>957</v>
      </c>
      <c r="K11" s="7" t="n">
        <v>63.98</v>
      </c>
      <c r="L11" s="8" t="n">
        <v>74.33</v>
      </c>
      <c r="M11" s="8" t="n">
        <v>69.78</v>
      </c>
      <c r="N11" s="8" t="n">
        <v>60.62</v>
      </c>
      <c r="O11" s="8" t="n">
        <v>62.86</v>
      </c>
      <c r="P11" s="8" t="n">
        <v>66.52</v>
      </c>
      <c r="Q11" s="9" t="n">
        <v>3.98</v>
      </c>
      <c r="R11" s="10" t="inlineStr">
        <is>
          <t>超标</t>
        </is>
      </c>
    </row>
    <row r="12" ht="21" customHeight="1">
      <c r="A12" s="4" t="inlineStr">
        <is>
          <t>S08</t>
        </is>
      </c>
      <c r="B12" s="5" t="inlineStr">
        <is>
          <t>中</t>
        </is>
      </c>
      <c r="C12" s="5" t="inlineStr">
        <is>
          <t>昼间</t>
        </is>
      </c>
      <c r="D12" s="6" t="inlineStr">
        <is>
          <t>主干道</t>
        </is>
      </c>
      <c r="E12" s="4" t="inlineStr">
        <is>
          <t>4a 类</t>
        </is>
      </c>
      <c r="F12" s="4" t="n">
        <v>70</v>
      </c>
      <c r="G12" s="4" t="inlineStr">
        <is>
          <t>2026-10-30</t>
        </is>
      </c>
      <c r="H12" s="4" t="inlineStr">
        <is>
          <t>11:50:27</t>
        </is>
      </c>
      <c r="I12" s="4" t="n">
        <v>91.90000000000001</v>
      </c>
      <c r="J12" s="4" t="n">
        <v>848</v>
      </c>
      <c r="K12" s="7" t="n">
        <v>57.34</v>
      </c>
      <c r="L12" s="8" t="n">
        <v>69.73</v>
      </c>
      <c r="M12" s="8" t="n">
        <v>63.26</v>
      </c>
      <c r="N12" s="8" t="n">
        <v>53.95</v>
      </c>
      <c r="O12" s="8" t="n">
        <v>56.16</v>
      </c>
      <c r="P12" s="8" t="n">
        <v>59.4</v>
      </c>
      <c r="Q12" s="9" t="n">
        <v>-12.66</v>
      </c>
      <c r="R12" s="10" t="inlineStr">
        <is>
          <t>达标</t>
        </is>
      </c>
    </row>
    <row r="13" ht="21" customHeight="1">
      <c r="A13" s="4" t="inlineStr">
        <is>
          <t>S09</t>
        </is>
      </c>
      <c r="B13" s="5" t="inlineStr">
        <is>
          <t>中</t>
        </is>
      </c>
      <c r="C13" s="5" t="inlineStr">
        <is>
          <t>昼间</t>
        </is>
      </c>
      <c r="D13" s="6" t="inlineStr">
        <is>
          <t>运动场</t>
        </is>
      </c>
      <c r="E13" s="4" t="inlineStr">
        <is>
          <t>2 类</t>
        </is>
      </c>
      <c r="F13" s="4" t="n">
        <v>60</v>
      </c>
      <c r="G13" s="4" t="inlineStr">
        <is>
          <t>2026-10-30</t>
        </is>
      </c>
      <c r="H13" s="4" t="inlineStr">
        <is>
          <t>12:01:26</t>
        </is>
      </c>
      <c r="I13" s="4" t="n">
        <v>83</v>
      </c>
      <c r="J13" s="4" t="n">
        <v>773</v>
      </c>
      <c r="K13" s="7" t="n">
        <v>60.79</v>
      </c>
      <c r="L13" s="8" t="n">
        <v>71.17</v>
      </c>
      <c r="M13" s="8" t="n">
        <v>67.63</v>
      </c>
      <c r="N13" s="8" t="n">
        <v>58.46</v>
      </c>
      <c r="O13" s="8" t="n">
        <v>60.19</v>
      </c>
      <c r="P13" s="8" t="n">
        <v>62.18</v>
      </c>
      <c r="Q13" s="9" t="n">
        <v>0.79</v>
      </c>
      <c r="R13" s="10" t="inlineStr">
        <is>
          <t>超标</t>
        </is>
      </c>
    </row>
    <row r="14" ht="21" customHeight="1">
      <c r="A14" s="4" t="inlineStr">
        <is>
          <t>S10</t>
        </is>
      </c>
      <c r="B14" s="5" t="inlineStr">
        <is>
          <t>中</t>
        </is>
      </c>
      <c r="C14" s="5" t="inlineStr">
        <is>
          <t>昼间</t>
        </is>
      </c>
      <c r="D14" s="6" t="inlineStr">
        <is>
          <t>实训室走廊</t>
        </is>
      </c>
      <c r="E14" s="4" t="inlineStr">
        <is>
          <t>1 类</t>
        </is>
      </c>
      <c r="F14" s="4" t="n">
        <v>55</v>
      </c>
      <c r="G14" s="4" t="inlineStr">
        <is>
          <t>2026-10-30</t>
        </is>
      </c>
      <c r="H14" s="4" t="inlineStr">
        <is>
          <t>11:42:09</t>
        </is>
      </c>
      <c r="I14" s="4" t="n">
        <v>84.5</v>
      </c>
      <c r="J14" s="4" t="n">
        <v>786</v>
      </c>
      <c r="K14" s="7" t="n">
        <v>60.49</v>
      </c>
      <c r="L14" s="8" t="n">
        <v>70.72</v>
      </c>
      <c r="M14" s="8" t="n">
        <v>64.63</v>
      </c>
      <c r="N14" s="8" t="n">
        <v>57.75</v>
      </c>
      <c r="O14" s="8" t="n">
        <v>59.44</v>
      </c>
      <c r="P14" s="8" t="n">
        <v>62.37</v>
      </c>
      <c r="Q14" s="9" t="n">
        <v>5.49</v>
      </c>
      <c r="R14" s="10" t="inlineStr">
        <is>
          <t>超标</t>
        </is>
      </c>
    </row>
    <row r="15" ht="21" customHeight="1">
      <c r="A15" s="4" t="inlineStr">
        <is>
          <t>S11</t>
        </is>
      </c>
      <c r="B15" s="11" t="inlineStr">
        <is>
          <t>晚</t>
        </is>
      </c>
      <c r="C15" s="11" t="inlineStr">
        <is>
          <t>夜间</t>
        </is>
      </c>
      <c r="D15" s="6" t="inlineStr">
        <is>
          <t>图书馆</t>
        </is>
      </c>
      <c r="E15" s="4" t="inlineStr">
        <is>
          <t>1 类</t>
        </is>
      </c>
      <c r="F15" s="4" t="n">
        <v>45</v>
      </c>
      <c r="G15" s="4" t="inlineStr">
        <is>
          <t>2026-10-25</t>
        </is>
      </c>
      <c r="H15" s="4" t="inlineStr">
        <is>
          <t>19:10:07</t>
        </is>
      </c>
      <c r="I15" s="4" t="n">
        <v>55.5</v>
      </c>
      <c r="J15" s="4" t="n">
        <v>464</v>
      </c>
      <c r="K15" s="7" t="n">
        <v>60.14</v>
      </c>
      <c r="L15" s="8" t="n">
        <v>69.34999999999999</v>
      </c>
      <c r="M15" s="8" t="n">
        <v>64.79000000000001</v>
      </c>
      <c r="N15" s="8" t="n">
        <v>58.45</v>
      </c>
      <c r="O15" s="8" t="n">
        <v>59.67</v>
      </c>
      <c r="P15" s="8" t="n">
        <v>61.02</v>
      </c>
      <c r="Q15" s="9" t="n">
        <v>15.14</v>
      </c>
      <c r="R15" s="10" t="inlineStr">
        <is>
          <t>超标</t>
        </is>
      </c>
    </row>
    <row r="16" ht="21" customHeight="1">
      <c r="A16" s="4" t="inlineStr">
        <is>
          <t>S12</t>
        </is>
      </c>
      <c r="B16" s="11" t="inlineStr">
        <is>
          <t>晚</t>
        </is>
      </c>
      <c r="C16" s="11" t="inlineStr">
        <is>
          <t>夜间</t>
        </is>
      </c>
      <c r="D16" s="6" t="inlineStr">
        <is>
          <t>食堂</t>
        </is>
      </c>
      <c r="E16" s="4" t="inlineStr">
        <is>
          <t>2 类</t>
        </is>
      </c>
      <c r="F16" s="4" t="n">
        <v>50</v>
      </c>
      <c r="G16" s="4" t="inlineStr">
        <is>
          <t>2026-10-26</t>
        </is>
      </c>
      <c r="H16" s="4" t="inlineStr">
        <is>
          <t>19:13:38</t>
        </is>
      </c>
      <c r="I16" s="4" t="n">
        <v>103.4</v>
      </c>
      <c r="J16" s="4" t="n">
        <v>954</v>
      </c>
      <c r="K16" s="7" t="n">
        <v>62.75</v>
      </c>
      <c r="L16" s="8" t="n">
        <v>71.08</v>
      </c>
      <c r="M16" s="8" t="n">
        <v>67.70999999999999</v>
      </c>
      <c r="N16" s="8" t="n">
        <v>59.59</v>
      </c>
      <c r="O16" s="8" t="n">
        <v>61.57</v>
      </c>
      <c r="P16" s="8" t="n">
        <v>65.03</v>
      </c>
      <c r="Q16" s="9" t="n">
        <v>12.75</v>
      </c>
      <c r="R16" s="10" t="inlineStr">
        <is>
          <t>超标</t>
        </is>
      </c>
    </row>
    <row r="17" ht="21" customHeight="1">
      <c r="A17" s="4" t="inlineStr">
        <is>
          <t>S13</t>
        </is>
      </c>
      <c r="B17" s="11" t="inlineStr">
        <is>
          <t>晚</t>
        </is>
      </c>
      <c r="C17" s="11" t="inlineStr">
        <is>
          <t>夜间</t>
        </is>
      </c>
      <c r="D17" s="6" t="inlineStr">
        <is>
          <t>主干道</t>
        </is>
      </c>
      <c r="E17" s="4" t="inlineStr">
        <is>
          <t>4a 类</t>
        </is>
      </c>
      <c r="F17" s="4" t="n">
        <v>55</v>
      </c>
      <c r="G17" s="4" t="inlineStr">
        <is>
          <t>2026-10-25</t>
        </is>
      </c>
      <c r="H17" s="4" t="inlineStr">
        <is>
          <t>19:27:28</t>
        </is>
      </c>
      <c r="I17" s="4" t="n">
        <v>84.40000000000001</v>
      </c>
      <c r="J17" s="4" t="n">
        <v>778</v>
      </c>
      <c r="K17" s="7" t="n">
        <v>60.34</v>
      </c>
      <c r="L17" s="8" t="n">
        <v>70.68000000000001</v>
      </c>
      <c r="M17" s="8" t="n">
        <v>69.56999999999999</v>
      </c>
      <c r="N17" s="8" t="n">
        <v>53.99</v>
      </c>
      <c r="O17" s="8" t="n">
        <v>57.92</v>
      </c>
      <c r="P17" s="8" t="n">
        <v>62.65</v>
      </c>
      <c r="Q17" s="9" t="n">
        <v>5.34</v>
      </c>
      <c r="R17" s="10" t="inlineStr">
        <is>
          <t>超标</t>
        </is>
      </c>
    </row>
    <row r="18" ht="21" customHeight="1">
      <c r="A18" s="4" t="inlineStr">
        <is>
          <t>S14</t>
        </is>
      </c>
      <c r="B18" s="11" t="inlineStr">
        <is>
          <t>晚</t>
        </is>
      </c>
      <c r="C18" s="11" t="inlineStr">
        <is>
          <t>夜间</t>
        </is>
      </c>
      <c r="D18" s="6" t="inlineStr">
        <is>
          <t>运动场</t>
        </is>
      </c>
      <c r="E18" s="4" t="inlineStr">
        <is>
          <t>2 类</t>
        </is>
      </c>
      <c r="F18" s="4" t="n">
        <v>50</v>
      </c>
      <c r="G18" s="4" t="inlineStr">
        <is>
          <t>2026-10-26</t>
        </is>
      </c>
      <c r="H18" s="4" t="inlineStr">
        <is>
          <t>19:04:07</t>
        </is>
      </c>
      <c r="I18" s="4" t="n">
        <v>106.5</v>
      </c>
      <c r="J18" s="4" t="n">
        <v>985</v>
      </c>
      <c r="K18" s="7" t="n">
        <v>63.09</v>
      </c>
      <c r="L18" s="8" t="n">
        <v>79.52</v>
      </c>
      <c r="M18" s="8" t="n">
        <v>71.93000000000001</v>
      </c>
      <c r="N18" s="8" t="n">
        <v>58.31</v>
      </c>
      <c r="O18" s="8" t="n">
        <v>60.84</v>
      </c>
      <c r="P18" s="8" t="n">
        <v>65.37</v>
      </c>
      <c r="Q18" s="9" t="n">
        <v>13.09</v>
      </c>
      <c r="R18" s="10" t="inlineStr">
        <is>
          <t>超标</t>
        </is>
      </c>
    </row>
    <row r="19" ht="21" customHeight="1">
      <c r="A19" s="4" t="inlineStr">
        <is>
          <t>S15</t>
        </is>
      </c>
      <c r="B19" s="11" t="inlineStr">
        <is>
          <t>晚</t>
        </is>
      </c>
      <c r="C19" s="11" t="inlineStr">
        <is>
          <t>夜间</t>
        </is>
      </c>
      <c r="D19" s="6" t="inlineStr">
        <is>
          <t>实训室走廊</t>
        </is>
      </c>
      <c r="E19" s="4" t="inlineStr">
        <is>
          <t>1 类</t>
        </is>
      </c>
      <c r="F19" s="4" t="n">
        <v>45</v>
      </c>
      <c r="G19" s="4" t="inlineStr">
        <is>
          <t>2026-10-25</t>
        </is>
      </c>
      <c r="H19" s="4" t="inlineStr">
        <is>
          <t>19:35:40</t>
        </is>
      </c>
      <c r="I19" s="4" t="n">
        <v>88.40000000000001</v>
      </c>
      <c r="J19" s="4" t="n">
        <v>821</v>
      </c>
      <c r="K19" s="7" t="n">
        <v>59.23</v>
      </c>
      <c r="L19" s="8" t="n">
        <v>66.95999999999999</v>
      </c>
      <c r="M19" s="8" t="n">
        <v>62.35</v>
      </c>
      <c r="N19" s="8" t="n">
        <v>56.79</v>
      </c>
      <c r="O19" s="8" t="n">
        <v>58.76</v>
      </c>
      <c r="P19" s="8" t="n">
        <v>61.18</v>
      </c>
      <c r="Q19" s="9" t="n">
        <v>14.23</v>
      </c>
      <c r="R19" s="10" t="inlineStr">
        <is>
          <t>超标</t>
        </is>
      </c>
    </row>
    <row r="21" ht="24" customHeight="1">
      <c r="A21" s="12" t="inlineStr">
        <is>
          <t>统计：共 15 组　超标 13 组 / 达标 2 组　｜　昼间（早+中）10 组中超标 8 组；夜间 5 组全部超标</t>
        </is>
      </c>
    </row>
  </sheetData>
  <autoFilter ref="A4:R19"/>
  <mergeCells count="3">
    <mergeCell ref="A2:R2"/>
    <mergeCell ref="A21:R21"/>
    <mergeCell ref="A1:R1"/>
  </mergeCells>
  <conditionalFormatting sqref="Q5:Q19">
    <cfRule type="colorScale" priority="1">
      <colorScale>
        <cfvo type="num" val="-13"/>
        <cfvo type="num" val="0"/>
        <cfvo type="num" val="16"/>
        <color rgb="004A90D9"/>
        <color rgb="00FFFFFF"/>
        <color rgb="00E06666"/>
      </colorScale>
    </cfRule>
  </conditionalFormatting>
  <conditionalFormatting sqref="R5:R19">
    <cfRule type="cellIs" priority="2" operator="equal" dxfId="0">
      <formula>"超标"</formula>
    </cfRule>
  </conditionalFormatting>
  <dataValidations count="1">
    <dataValidation sqref="B5:B19" showDropDown="0" showInputMessage="0" showErrorMessage="0" allowBlank="0" type="list">
      <formula1>"早,中,晚"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34" customHeight="1">
      <c r="A1" s="1" t="inlineStr">
        <is>
          <t>同一测点三个时段的对比（Leq 与超出量 Δ）</t>
        </is>
      </c>
    </row>
    <row r="3" ht="34" customHeight="1">
      <c r="A3" s="13" t="inlineStr">
        <is>
          <t>监测点位</t>
        </is>
      </c>
      <c r="B3" s="13" t="inlineStr">
        <is>
          <t>功能区
类别</t>
        </is>
      </c>
      <c r="C3" s="13" t="inlineStr">
        <is>
          <t>昼间限值</t>
        </is>
      </c>
      <c r="D3" s="13" t="inlineStr">
        <is>
          <t>夜间限值</t>
        </is>
      </c>
      <c r="E3" s="13" t="inlineStr">
        <is>
          <t>早 Leq</t>
        </is>
      </c>
      <c r="F3" s="13" t="inlineStr">
        <is>
          <t>早 Δ</t>
        </is>
      </c>
      <c r="G3" s="13" t="inlineStr">
        <is>
          <t>中 Leq</t>
        </is>
      </c>
      <c r="H3" s="13" t="inlineStr">
        <is>
          <t>中 Δ</t>
        </is>
      </c>
      <c r="I3" s="13" t="inlineStr">
        <is>
          <t>晚 Leq</t>
        </is>
      </c>
      <c r="J3" s="13" t="inlineStr">
        <is>
          <t>晚 Δ</t>
        </is>
      </c>
    </row>
    <row r="4" ht="22" customHeight="1">
      <c r="A4" s="14" t="inlineStr">
        <is>
          <t>图书馆</t>
        </is>
      </c>
      <c r="B4" s="4" t="inlineStr">
        <is>
          <t>1 类</t>
        </is>
      </c>
      <c r="C4" s="4" t="n">
        <v>55</v>
      </c>
      <c r="D4" s="4" t="n">
        <v>45</v>
      </c>
      <c r="E4" s="8" t="n">
        <v>61.42</v>
      </c>
      <c r="F4" s="9" t="n">
        <v>6.42</v>
      </c>
      <c r="G4" s="8" t="n">
        <v>61.18</v>
      </c>
      <c r="H4" s="9" t="n">
        <v>6.18</v>
      </c>
      <c r="I4" s="8" t="n">
        <v>60.14</v>
      </c>
      <c r="J4" s="9" t="n">
        <v>15.14</v>
      </c>
    </row>
    <row r="5" ht="22" customHeight="1">
      <c r="A5" s="14" t="inlineStr">
        <is>
          <t>食堂</t>
        </is>
      </c>
      <c r="B5" s="4" t="inlineStr">
        <is>
          <t>2 类</t>
        </is>
      </c>
      <c r="C5" s="4" t="n">
        <v>60</v>
      </c>
      <c r="D5" s="4" t="n">
        <v>50</v>
      </c>
      <c r="E5" s="8" t="n">
        <v>62.49</v>
      </c>
      <c r="F5" s="9" t="n">
        <v>2.49</v>
      </c>
      <c r="G5" s="8" t="n">
        <v>63.98</v>
      </c>
      <c r="H5" s="9" t="n">
        <v>3.98</v>
      </c>
      <c r="I5" s="8" t="n">
        <v>62.75</v>
      </c>
      <c r="J5" s="9" t="n">
        <v>12.75</v>
      </c>
    </row>
    <row r="6" ht="22" customHeight="1">
      <c r="A6" s="14" t="inlineStr">
        <is>
          <t>主干道</t>
        </is>
      </c>
      <c r="B6" s="4" t="inlineStr">
        <is>
          <t>4a 类</t>
        </is>
      </c>
      <c r="C6" s="4" t="n">
        <v>70</v>
      </c>
      <c r="D6" s="4" t="n">
        <v>55</v>
      </c>
      <c r="E6" s="8" t="n">
        <v>63.46</v>
      </c>
      <c r="F6" s="9" t="n">
        <v>-6.54</v>
      </c>
      <c r="G6" s="8" t="n">
        <v>57.34</v>
      </c>
      <c r="H6" s="9" t="n">
        <v>-12.66</v>
      </c>
      <c r="I6" s="8" t="n">
        <v>60.34</v>
      </c>
      <c r="J6" s="9" t="n">
        <v>5.34</v>
      </c>
    </row>
    <row r="7" ht="22" customHeight="1">
      <c r="A7" s="14" t="inlineStr">
        <is>
          <t>运动场</t>
        </is>
      </c>
      <c r="B7" s="4" t="inlineStr">
        <is>
          <t>2 类</t>
        </is>
      </c>
      <c r="C7" s="4" t="n">
        <v>60</v>
      </c>
      <c r="D7" s="4" t="n">
        <v>50</v>
      </c>
      <c r="E7" s="8" t="n">
        <v>61.48</v>
      </c>
      <c r="F7" s="9" t="n">
        <v>1.48</v>
      </c>
      <c r="G7" s="8" t="n">
        <v>60.79</v>
      </c>
      <c r="H7" s="9" t="n">
        <v>0.79</v>
      </c>
      <c r="I7" s="8" t="n">
        <v>63.09</v>
      </c>
      <c r="J7" s="9" t="n">
        <v>13.09</v>
      </c>
    </row>
    <row r="8" ht="22" customHeight="1">
      <c r="A8" s="14" t="inlineStr">
        <is>
          <t>实训室走廊</t>
        </is>
      </c>
      <c r="B8" s="4" t="inlineStr">
        <is>
          <t>1 类</t>
        </is>
      </c>
      <c r="C8" s="4" t="n">
        <v>55</v>
      </c>
      <c r="D8" s="4" t="n">
        <v>45</v>
      </c>
      <c r="E8" s="8" t="n">
        <v>59.59</v>
      </c>
      <c r="F8" s="9" t="n">
        <v>4.59</v>
      </c>
      <c r="G8" s="8" t="n">
        <v>60.49</v>
      </c>
      <c r="H8" s="9" t="n">
        <v>5.49</v>
      </c>
      <c r="I8" s="8" t="n">
        <v>59.23</v>
      </c>
      <c r="J8" s="9" t="n">
        <v>14.23</v>
      </c>
    </row>
    <row r="10" ht="40" customHeight="1">
      <c r="A10" s="15" t="inlineStr">
        <is>
          <t>读法：早 / 中 用昼间限值（55 / 60 / 70），晚用夜间限值（45 / 50 / 55）。Δ &gt; 0 即超标。主干道是 4a 类，限值最高，昼间两时段均达标；夜间限值降到 55，它的 Δ 由 −6.5 / −12.7 变成 +5.3。</t>
        </is>
      </c>
    </row>
    <row r="11" ht="40" customHeight="1">
      <c r="A11" s="16" t="inlineStr">
        <is>
          <t>关键现象：夜间 5 组全部超标，但夜间实测声级只比早间低 −3.1 ~ +1.6 dB。超标的主因是限值从昼间降到夜间整整 10 dB，而不是噪声变大了。</t>
        </is>
      </c>
    </row>
  </sheetData>
  <mergeCells count="3">
    <mergeCell ref="A11:J11"/>
    <mergeCell ref="A1:J1"/>
    <mergeCell ref="A10:J10"/>
  </mergeCells>
  <conditionalFormatting sqref="F4:F8">
    <cfRule type="colorScale" priority="1">
      <colorScale>
        <cfvo type="num" val="-13"/>
        <cfvo type="num" val="0"/>
        <cfvo type="num" val="16"/>
        <color rgb="004A90D9"/>
        <color rgb="00FFFFFF"/>
        <color rgb="00E06666"/>
      </colorScale>
    </cfRule>
  </conditionalFormatting>
  <conditionalFormatting sqref="H4:H8">
    <cfRule type="colorScale" priority="2">
      <colorScale>
        <cfvo type="num" val="-13"/>
        <cfvo type="num" val="0"/>
        <cfvo type="num" val="16"/>
        <color rgb="004A90D9"/>
        <color rgb="00FFFFFF"/>
        <color rgb="00E06666"/>
      </colorScale>
    </cfRule>
  </conditionalFormatting>
  <conditionalFormatting sqref="J4:J8">
    <cfRule type="colorScale" priority="3">
      <colorScale>
        <cfvo type="num" val="-13"/>
        <cfvo type="num" val="0"/>
        <cfvo type="num" val="16"/>
        <color rgb="004A90D9"/>
        <color rgb="00FFFFFF"/>
        <color rgb="00E0666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34" customHeight="1">
      <c r="A1" s="17" t="inlineStr">
        <is>
          <t>三分时段「超出量 Δ」雷达图（Δ = Leq − 适用限值，单位 dB）</t>
        </is>
      </c>
    </row>
    <row r="4">
      <c r="A4" s="10" t="inlineStr">
        <is>
          <t>监测点位</t>
        </is>
      </c>
      <c r="B4" s="10" t="inlineStr">
        <is>
          <t>早 ΔdB</t>
        </is>
      </c>
      <c r="C4" s="10" t="inlineStr">
        <is>
          <t>中 ΔdB</t>
        </is>
      </c>
      <c r="D4" s="10" t="inlineStr">
        <is>
          <t>晚 ΔdB</t>
        </is>
      </c>
    </row>
    <row r="5">
      <c r="A5" s="4" t="inlineStr">
        <is>
          <t>图书馆</t>
        </is>
      </c>
      <c r="B5" s="9" t="n">
        <v>6.42</v>
      </c>
      <c r="C5" s="9" t="n">
        <v>6.18</v>
      </c>
      <c r="D5" s="9" t="n">
        <v>15.14</v>
      </c>
    </row>
    <row r="6">
      <c r="A6" s="4" t="inlineStr">
        <is>
          <t>食堂</t>
        </is>
      </c>
      <c r="B6" s="9" t="n">
        <v>2.49</v>
      </c>
      <c r="C6" s="9" t="n">
        <v>3.98</v>
      </c>
      <c r="D6" s="9" t="n">
        <v>12.75</v>
      </c>
    </row>
    <row r="7">
      <c r="A7" s="4" t="inlineStr">
        <is>
          <t>主干道</t>
        </is>
      </c>
      <c r="B7" s="9" t="n">
        <v>-6.54</v>
      </c>
      <c r="C7" s="9" t="n">
        <v>-12.66</v>
      </c>
      <c r="D7" s="9" t="n">
        <v>5.34</v>
      </c>
    </row>
    <row r="8">
      <c r="A8" s="4" t="inlineStr">
        <is>
          <t>运动场</t>
        </is>
      </c>
      <c r="B8" s="9" t="n">
        <v>1.48</v>
      </c>
      <c r="C8" s="9" t="n">
        <v>0.79</v>
      </c>
      <c r="D8" s="9" t="n">
        <v>13.09</v>
      </c>
    </row>
    <row r="9">
      <c r="A9" s="4" t="inlineStr">
        <is>
          <t>实训室走廊</t>
        </is>
      </c>
      <c r="B9" s="9" t="n">
        <v>4.59</v>
      </c>
      <c r="C9" s="9" t="n">
        <v>5.49</v>
      </c>
      <c r="D9" s="9" t="n">
        <v>14.23</v>
      </c>
    </row>
    <row r="11" ht="16" customHeight="1">
      <c r="A11" s="18" t="inlineStr">
        <is>
          <t>为什么画 Δ 而不画绝对 dB：</t>
        </is>
      </c>
    </row>
    <row r="12" ht="16" customHeight="1">
      <c r="A12" s="18" t="inlineStr">
        <is>
          <t>五个点位分属 1 类 / 2 类 / 4a 类，</t>
        </is>
      </c>
    </row>
    <row r="13" ht="16" customHeight="1">
      <c r="A13" s="18" t="inlineStr">
        <is>
          <t>限值从 55 到 70 不等。画绝对声级时，</t>
        </is>
      </c>
    </row>
    <row r="14" ht="16" customHeight="1">
      <c r="A14" s="18" t="inlineStr">
        <is>
          <t>主干道永远在最外圈，会被误读成最吵；</t>
        </is>
      </c>
    </row>
    <row r="15" ht="16" customHeight="1">
      <c r="A15" s="18" t="inlineStr">
        <is>
          <t>换成 Δ 之后五个方向共用一把尺子：</t>
        </is>
      </c>
    </row>
    <row r="16" ht="16" customHeight="1">
      <c r="A16" s="18" t="inlineStr">
        <is>
          <t>0 线 = 限值线，越往外越超标。</t>
        </is>
      </c>
    </row>
    <row r="19" ht="16" customHeight="1">
      <c r="A19" s="19" t="inlineStr">
        <is>
          <t>夜间三角形几乎整体包住昼间的两个——</t>
        </is>
      </c>
    </row>
    <row r="20" ht="16" customHeight="1">
      <c r="A20" s="19" t="inlineStr">
        <is>
          <t>不是夜里变吵了，是夜间的尺子短了 10 dB。</t>
        </is>
      </c>
    </row>
    <row r="21" ht="16" customHeight="1">
      <c r="A21" s="19" t="inlineStr">
        <is>
          <t>（实测声级只差 −3.1 ~ +1.6 dB）</t>
        </is>
      </c>
    </row>
  </sheetData>
  <mergeCells count="10">
    <mergeCell ref="A21:E21"/>
    <mergeCell ref="A1:J1"/>
    <mergeCell ref="A12:E12"/>
    <mergeCell ref="A20:E20"/>
    <mergeCell ref="A16:E16"/>
    <mergeCell ref="A15:E15"/>
    <mergeCell ref="A19:E19"/>
    <mergeCell ref="A11:E1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  <col width="18" customWidth="1" min="5" max="5"/>
    <col width="34" customWidth="1" min="6" max="6"/>
  </cols>
  <sheetData>
    <row r="1" ht="34" customHeight="1">
      <c r="A1" s="1" t="inlineStr">
        <is>
          <t>GB 3096-2008《声环境质量标准》环境噪声限值（等效声级 Leq，dB(A)）</t>
        </is>
      </c>
    </row>
    <row r="3" ht="36" customHeight="1">
      <c r="A3" s="13" t="inlineStr">
        <is>
          <t>声环境功能区类别</t>
        </is>
      </c>
      <c r="B3" s="13" t="inlineStr">
        <is>
          <t>适用区域（本课题对应点位）</t>
        </is>
      </c>
      <c r="C3" s="13" t="inlineStr">
        <is>
          <t>昼间 6:00—22:00</t>
        </is>
      </c>
      <c r="D3" s="13" t="inlineStr">
        <is>
          <t>夜间 22:00—6:00</t>
        </is>
      </c>
      <c r="E3" s="13" t="inlineStr">
        <is>
          <t>本课题点位</t>
        </is>
      </c>
      <c r="F3" s="13" t="inlineStr">
        <is>
          <t>取值说明</t>
        </is>
      </c>
    </row>
    <row r="4" ht="46" customHeight="1">
      <c r="A4" s="20" t="inlineStr">
        <is>
          <t>0 类</t>
        </is>
      </c>
      <c r="B4" s="21" t="inlineStr">
        <is>
          <t>康复疗养区等特别需要安静的区域</t>
        </is>
      </c>
      <c r="C4" s="22" t="inlineStr">
        <is>
          <t>50</t>
        </is>
      </c>
      <c r="D4" s="22" t="inlineStr">
        <is>
          <t>40</t>
        </is>
      </c>
      <c r="E4" s="23" t="inlineStr">
        <is>
          <t>—</t>
        </is>
      </c>
      <c r="F4" s="21" t="inlineStr">
        <is>
          <t>本课题无此类点位</t>
        </is>
      </c>
    </row>
    <row r="5" ht="46" customHeight="1">
      <c r="A5" s="20" t="inlineStr">
        <is>
          <t>1 类</t>
        </is>
      </c>
      <c r="B5" s="21" t="inlineStr">
        <is>
          <t>以居民住宅、医疗卫生、文化教育、科研设计、行政办公为主要功能，需要保持安静的区域</t>
        </is>
      </c>
      <c r="C5" s="22" t="inlineStr">
        <is>
          <t>55</t>
        </is>
      </c>
      <c r="D5" s="22" t="inlineStr">
        <is>
          <t>45</t>
        </is>
      </c>
      <c r="E5" s="23" t="inlineStr">
        <is>
          <t>图书馆、实训室走廊</t>
        </is>
      </c>
      <c r="F5" s="21" t="inlineStr">
        <is>
          <t>文教科研办公为主，从严取值</t>
        </is>
      </c>
    </row>
    <row r="6" ht="46" customHeight="1">
      <c r="A6" s="20" t="inlineStr">
        <is>
          <t>2 类</t>
        </is>
      </c>
      <c r="B6" s="21" t="inlineStr">
        <is>
          <t>以商业金融、集市贸易为主要功能，或者居住、商业、工业混杂，需要维护住宅安静的区域</t>
        </is>
      </c>
      <c r="C6" s="22" t="inlineStr">
        <is>
          <t>60</t>
        </is>
      </c>
      <c r="D6" s="22" t="inlineStr">
        <is>
          <t>50</t>
        </is>
      </c>
      <c r="E6" s="23" t="inlineStr">
        <is>
          <t>食堂、运动场</t>
        </is>
      </c>
      <c r="F6" s="21" t="inlineStr">
        <is>
          <t>商业与生活混杂；运动场按场地活动期间取 2 类</t>
        </is>
      </c>
    </row>
    <row r="7" ht="46" customHeight="1">
      <c r="A7" s="20" t="inlineStr">
        <is>
          <t>3 类</t>
        </is>
      </c>
      <c r="B7" s="21" t="inlineStr">
        <is>
          <t>以工业生产、仓储物流为主要功能，需要防止工业噪声对周围环境产生严重影响的区域</t>
        </is>
      </c>
      <c r="C7" s="22" t="inlineStr">
        <is>
          <t>65</t>
        </is>
      </c>
      <c r="D7" s="22" t="inlineStr">
        <is>
          <t>55</t>
        </is>
      </c>
      <c r="E7" s="23" t="inlineStr">
        <is>
          <t>—</t>
        </is>
      </c>
      <c r="F7" s="21" t="inlineStr">
        <is>
          <t>本课题无此类点位</t>
        </is>
      </c>
    </row>
    <row r="8" ht="46" customHeight="1">
      <c r="A8" s="20" t="inlineStr">
        <is>
          <t>4a 类</t>
        </is>
      </c>
      <c r="B8" s="21" t="inlineStr">
        <is>
          <t>高速公路、一级公路、二级公路、城市快速路、城市主干路、城市次干路、城市轨道交通（地面段）、内河航道两侧区域</t>
        </is>
      </c>
      <c r="C8" s="22" t="inlineStr">
        <is>
          <t>70</t>
        </is>
      </c>
      <c r="D8" s="22" t="inlineStr">
        <is>
          <t>55</t>
        </is>
      </c>
      <c r="E8" s="23" t="inlineStr">
        <is>
          <t>主干道</t>
        </is>
      </c>
      <c r="F8" s="21" t="inlineStr">
        <is>
          <t>校园主路两侧 4a 类</t>
        </is>
      </c>
    </row>
    <row r="10" ht="46" customHeight="1">
      <c r="A10" s="24" t="inlineStr">
        <is>
          <t>判定规则：Leq 实测值 &gt; 该点位所属功能区、所属时段的限值，即判「超标」；超出量 Δ = 实测 Leq − 限值。峰值 Lmax 与 1 s 峰值不参与达标判定，只作为「瞬时冲击」另立通道单独告警（见第 05 页光效参数）。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8" customWidth="1" min="5" max="5"/>
    <col width="14" customWidth="1" min="6" max="6"/>
    <col width="8" customWidth="1" min="7" max="7"/>
    <col width="30" customWidth="1" min="8" max="8"/>
  </cols>
  <sheetData>
    <row r="1" ht="34" customHeight="1">
      <c r="A1" s="1" t="inlineStr">
        <is>
          <t>声学超标自动提醒 —— 光效编码与状态机参数（与《光效逻辑设计》文档一致）</t>
        </is>
      </c>
    </row>
    <row r="3" ht="34" customHeight="1">
      <c r="A3" s="13" t="inlineStr">
        <is>
          <t>状态</t>
        </is>
      </c>
      <c r="B3" s="13" t="inlineStr">
        <is>
          <t>触发条件（Δ = Leq − 限值）</t>
        </is>
      </c>
      <c r="C3" s="13" t="inlineStr">
        <is>
          <t>主色</t>
        </is>
      </c>
      <c r="D3" s="13" t="inlineStr">
        <is>
          <t>RGB</t>
        </is>
      </c>
      <c r="E3" s="13" t="inlineStr">
        <is>
          <t>亮度</t>
        </is>
      </c>
      <c r="F3" s="13" t="inlineStr">
        <is>
          <t>闪烁频率</t>
        </is>
      </c>
      <c r="G3" s="13" t="inlineStr">
        <is>
          <t>占空比</t>
        </is>
      </c>
      <c r="H3" s="13" t="inlineStr">
        <is>
          <t>含义</t>
        </is>
      </c>
    </row>
    <row r="4" ht="24" customHeight="1">
      <c r="A4" s="20" t="inlineStr">
        <is>
          <t>S0 安静</t>
        </is>
      </c>
      <c r="B4" s="21" t="inlineStr">
        <is>
          <t>Δ ≤ −10</t>
        </is>
      </c>
      <c r="C4" s="25" t="inlineStr">
        <is>
          <t>青蓝</t>
        </is>
      </c>
      <c r="D4" s="22" t="inlineStr">
        <is>
          <t>00C2FF</t>
        </is>
      </c>
      <c r="E4" s="22" t="inlineStr">
        <is>
          <t>25%</t>
        </is>
      </c>
      <c r="F4" s="22" t="inlineStr">
        <is>
          <t>常亮</t>
        </is>
      </c>
      <c r="G4" s="22" t="inlineStr">
        <is>
          <t>100%</t>
        </is>
      </c>
      <c r="H4" s="23" t="inlineStr">
        <is>
          <t>远低于限值，无需提醒</t>
        </is>
      </c>
    </row>
    <row r="5" ht="24" customHeight="1">
      <c r="A5" s="20" t="inlineStr">
        <is>
          <t>S1 达标</t>
        </is>
      </c>
      <c r="B5" s="21" t="inlineStr">
        <is>
          <t>−10 &lt; Δ ≤ 0</t>
        </is>
      </c>
      <c r="C5" s="26" t="inlineStr">
        <is>
          <t>绿</t>
        </is>
      </c>
      <c r="D5" s="22" t="inlineStr">
        <is>
          <t>22C55E</t>
        </is>
      </c>
      <c r="E5" s="22" t="inlineStr">
        <is>
          <t>50%</t>
        </is>
      </c>
      <c r="F5" s="22" t="inlineStr">
        <is>
          <t>常亮</t>
        </is>
      </c>
      <c r="G5" s="22" t="inlineStr">
        <is>
          <t>100%</t>
        </is>
      </c>
      <c r="H5" s="23" t="inlineStr">
        <is>
          <t>符合标准，视觉上「不打扰」</t>
        </is>
      </c>
    </row>
    <row r="6" ht="24" customHeight="1">
      <c r="A6" s="20" t="inlineStr">
        <is>
          <t>S2 轻度超标</t>
        </is>
      </c>
      <c r="B6" s="21" t="inlineStr">
        <is>
          <t>0 &lt; Δ ≤ +5</t>
        </is>
      </c>
      <c r="C6" s="27" t="inlineStr">
        <is>
          <t>黄</t>
        </is>
      </c>
      <c r="D6" s="22" t="inlineStr">
        <is>
          <t>FACC15</t>
        </is>
      </c>
      <c r="E6" s="22" t="inlineStr">
        <is>
          <t>75%</t>
        </is>
      </c>
      <c r="F6" s="22" t="inlineStr">
        <is>
          <t>呼吸 0.5 Hz</t>
        </is>
      </c>
      <c r="G6" s="22" t="inlineStr">
        <is>
          <t>50%</t>
        </is>
      </c>
      <c r="H6" s="23" t="inlineStr">
        <is>
          <t>刚过线，提示注意</t>
        </is>
      </c>
    </row>
    <row r="7" ht="24" customHeight="1">
      <c r="A7" s="20" t="inlineStr">
        <is>
          <t>S3 中度超标</t>
        </is>
      </c>
      <c r="B7" s="21" t="inlineStr">
        <is>
          <t>+5 &lt; Δ ≤ +10</t>
        </is>
      </c>
      <c r="C7" s="28" t="inlineStr">
        <is>
          <t>橙</t>
        </is>
      </c>
      <c r="D7" s="22" t="inlineStr">
        <is>
          <t>FB923C</t>
        </is>
      </c>
      <c r="E7" s="22" t="inlineStr">
        <is>
          <t>90%</t>
        </is>
      </c>
      <c r="F7" s="22" t="inlineStr">
        <is>
          <t>闪烁 1.0 Hz</t>
        </is>
      </c>
      <c r="G7" s="22" t="inlineStr">
        <is>
          <t>50%</t>
        </is>
      </c>
      <c r="H7" s="23" t="inlineStr">
        <is>
          <t>明显超标，需要干预</t>
        </is>
      </c>
    </row>
    <row r="8" ht="24" customHeight="1">
      <c r="A8" s="20" t="inlineStr">
        <is>
          <t>S4 重度超标</t>
        </is>
      </c>
      <c r="B8" s="21" t="inlineStr">
        <is>
          <t>Δ &gt; +10</t>
        </is>
      </c>
      <c r="C8" s="29" t="inlineStr">
        <is>
          <t>红</t>
        </is>
      </c>
      <c r="D8" s="22" t="inlineStr">
        <is>
          <t>EF4444</t>
        </is>
      </c>
      <c r="E8" s="22" t="inlineStr">
        <is>
          <t>100%</t>
        </is>
      </c>
      <c r="F8" s="22" t="inlineStr">
        <is>
          <t>急闪 2.5 Hz</t>
        </is>
      </c>
      <c r="G8" s="22" t="inlineStr">
        <is>
          <t>30%</t>
        </is>
      </c>
      <c r="H8" s="23" t="inlineStr">
        <is>
          <t>严重超标，立即处置</t>
        </is>
      </c>
    </row>
    <row r="9" ht="24" customHeight="1">
      <c r="A9" s="20" t="inlineStr">
        <is>
          <t>SP 瞬时冲击</t>
        </is>
      </c>
      <c r="B9" s="21" t="inlineStr">
        <is>
          <t>Lmax ≥ 85 dB(A)</t>
        </is>
      </c>
      <c r="C9" s="29" t="inlineStr">
        <is>
          <t>红白交替</t>
        </is>
      </c>
      <c r="D9" s="22" t="inlineStr">
        <is>
          <t>EF4444</t>
        </is>
      </c>
      <c r="E9" s="22" t="inlineStr">
        <is>
          <t>100%</t>
        </is>
      </c>
      <c r="F9" s="22" t="inlineStr">
        <is>
          <t>快闪 5.0 Hz</t>
        </is>
      </c>
      <c r="G9" s="22" t="inlineStr">
        <is>
          <t>50%</t>
        </is>
      </c>
      <c r="H9" s="23" t="inlineStr">
        <is>
          <t>脉冲式冲击，与等级判定并行</t>
        </is>
      </c>
    </row>
    <row r="11" ht="24" customHeight="1">
      <c r="A11" s="30" t="inlineStr">
        <is>
          <t>时序与仲裁参数</t>
        </is>
      </c>
    </row>
    <row r="12">
      <c r="A12" s="31" t="inlineStr">
        <is>
          <t>参数</t>
        </is>
      </c>
      <c r="B12" s="31" t="inlineStr">
        <is>
          <t>取值</t>
        </is>
      </c>
      <c r="C12" s="31" t="inlineStr">
        <is>
          <t>理由</t>
        </is>
      </c>
      <c r="D12" s="32" t="n"/>
      <c r="E12" s="32" t="n"/>
      <c r="F12" s="32" t="n"/>
      <c r="G12" s="32" t="n"/>
      <c r="H12" s="33" t="n"/>
    </row>
    <row r="13" ht="22" customHeight="1">
      <c r="A13" s="34" t="inlineStr">
        <is>
          <t>刷新周期</t>
        </is>
      </c>
      <c r="B13" s="35" t="inlineStr">
        <is>
          <t>1 s</t>
        </is>
      </c>
      <c r="C13" s="36" t="inlineStr">
        <is>
          <t>每秒采样一次，人察觉不到延迟</t>
        </is>
      </c>
      <c r="D13" s="37" t="n"/>
      <c r="E13" s="37" t="n"/>
      <c r="F13" s="37" t="n"/>
      <c r="G13" s="37" t="n"/>
      <c r="H13" s="37" t="n"/>
    </row>
    <row r="14" ht="22" customHeight="1">
      <c r="A14" s="34" t="inlineStr">
        <is>
          <t>上升沿</t>
        </is>
      </c>
      <c r="B14" s="35" t="inlineStr">
        <is>
          <t>即时切换（连续 3 s 确认）</t>
        </is>
      </c>
      <c r="C14" s="36" t="inlineStr">
        <is>
          <t>安全优先，宁可早报不可晚报</t>
        </is>
      </c>
      <c r="D14" s="37" t="n"/>
      <c r="E14" s="37" t="n"/>
      <c r="F14" s="37" t="n"/>
      <c r="G14" s="37" t="n"/>
      <c r="H14" s="37" t="n"/>
    </row>
    <row r="15" ht="22" customHeight="1">
      <c r="A15" s="34" t="inlineStr">
        <is>
          <t>下降沿</t>
        </is>
      </c>
      <c r="B15" s="35" t="inlineStr">
        <is>
          <t>低于下一档阈值 2 dB 且保持 5 s 才降级</t>
        </is>
      </c>
      <c r="C15" s="36" t="inlineStr">
        <is>
          <t>回差 + 保持，防止临界抖动</t>
        </is>
      </c>
      <c r="D15" s="37" t="n"/>
      <c r="E15" s="37" t="n"/>
      <c r="F15" s="37" t="n"/>
      <c r="G15" s="37" t="n"/>
      <c r="H15" s="37" t="n"/>
    </row>
    <row r="16" ht="22" customHeight="1">
      <c r="A16" s="34" t="inlineStr">
        <is>
          <t>最短保持</t>
        </is>
      </c>
      <c r="B16" s="35" t="inlineStr">
        <is>
          <t>任一超标状态 ≥ 10 s</t>
        </is>
      </c>
      <c r="C16" s="36" t="inlineStr">
        <is>
          <t>防止一次咳嗽让灯闪一下又灭</t>
        </is>
      </c>
      <c r="D16" s="37" t="n"/>
      <c r="E16" s="37" t="n"/>
      <c r="F16" s="37" t="n"/>
      <c r="G16" s="37" t="n"/>
      <c r="H16" s="37" t="n"/>
    </row>
    <row r="17" ht="22" customHeight="1">
      <c r="A17" s="34" t="inlineStr">
        <is>
          <t>优先级</t>
        </is>
      </c>
      <c r="B17" s="35" t="inlineStr">
        <is>
          <t>SP &gt; S4 &gt; S3 &gt; S2 &gt; S1 &gt; S0</t>
        </is>
      </c>
      <c r="C17" s="36" t="inlineStr">
        <is>
          <t>高优先级可立即抢占，低优先级不得覆盖高优先级</t>
        </is>
      </c>
      <c r="D17" s="37" t="n"/>
      <c r="E17" s="37" t="n"/>
      <c r="F17" s="37" t="n"/>
      <c r="G17" s="37" t="n"/>
      <c r="H17" s="37" t="n"/>
    </row>
    <row r="18" ht="22" customHeight="1">
      <c r="A18" s="34" t="inlineStr">
        <is>
          <t>夜间模式</t>
        </is>
      </c>
      <c r="B18" s="35" t="inlineStr">
        <is>
          <t>22:00—6:00 亮度 ×0.4、频率上限 1 Hz</t>
        </is>
      </c>
      <c r="C18" s="36" t="inlineStr">
        <is>
          <t>避免「治理噪声」反而制造光污染</t>
        </is>
      </c>
      <c r="D18" s="37" t="n"/>
      <c r="E18" s="37" t="n"/>
      <c r="F18" s="37" t="n"/>
      <c r="G18" s="37" t="n"/>
      <c r="H18" s="37" t="n"/>
    </row>
    <row r="19" ht="22" customHeight="1">
      <c r="A19" s="34" t="inlineStr">
        <is>
          <t>冲击通道</t>
        </is>
      </c>
      <c r="B19" s="35" t="inlineStr">
        <is>
          <t>Lmax ≥ 85 dB(A) 立即触发，3 s 后回退</t>
        </is>
      </c>
      <c r="C19" s="36" t="inlineStr">
        <is>
          <t>不参与平滑、不排队去抖</t>
        </is>
      </c>
      <c r="D19" s="37" t="n"/>
      <c r="E19" s="37" t="n"/>
      <c r="F19" s="37" t="n"/>
      <c r="G19" s="37" t="n"/>
      <c r="H19" s="37" t="n"/>
    </row>
    <row r="20" ht="22" customHeight="1">
      <c r="A20" s="34" t="inlineStr">
        <is>
          <t>不确定度带</t>
        </is>
      </c>
      <c r="B20" s="35" t="inlineStr">
        <is>
          <t>±3 dB（见《创新体系》第 2 节）</t>
        </is>
      </c>
      <c r="C20" s="36" t="inlineStr">
        <is>
          <t>落入灰带时由 S1/S2 之间取「黄闪」并标记待复核</t>
        </is>
      </c>
      <c r="D20" s="37" t="n"/>
      <c r="E20" s="37" t="n"/>
      <c r="F20" s="37" t="n"/>
      <c r="G20" s="37" t="n"/>
      <c r="H20" s="37" t="n"/>
    </row>
  </sheetData>
  <mergeCells count="11">
    <mergeCell ref="C20:H20"/>
    <mergeCell ref="C16:H16"/>
    <mergeCell ref="C19:H19"/>
    <mergeCell ref="C14:H14"/>
    <mergeCell ref="C13:H13"/>
    <mergeCell ref="C17:H17"/>
    <mergeCell ref="A11:H11"/>
    <mergeCell ref="C18:H18"/>
    <mergeCell ref="A1:H1"/>
    <mergeCell ref="C12:H12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2026-10-30T15:58:46Z</dcterms:created>
  <dcterms:modified xmlns:dcterms="http://purl.org/dc/terms/" xmlns:xsi="http://www.w3.org/2001/XMLSchema-instance" xsi:type="dcterms:W3CDTF">2026-10-30T15:58:46Z</dcterms:modified>
</cp:coreProperties>
</file>